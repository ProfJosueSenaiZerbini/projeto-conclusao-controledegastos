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ue.rosario\Documents\Projeto_Base\Docs\Testes\"/>
    </mc:Choice>
  </mc:AlternateContent>
  <xr:revisionPtr revIDLastSave="0" documentId="13_ncr:1_{89EE332B-FA9E-4B69-AC97-7E879A8C9102}" xr6:coauthVersionLast="47" xr6:coauthVersionMax="47" xr10:uidLastSave="{00000000-0000-0000-0000-000000000000}"/>
  <bookViews>
    <workbookView xWindow="-120" yWindow="-120" windowWidth="29040" windowHeight="15720" xr2:uid="{B39D3B3E-C0E7-4FBE-A703-F38F16FF52B7}"/>
  </bookViews>
  <sheets>
    <sheet name="RESULTADOS" sheetId="3" r:id="rId1"/>
    <sheet name="UNITARIOS" sheetId="1" r:id="rId2"/>
    <sheet name="FUNCIONAI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4" i="3"/>
  <c r="C3" i="3"/>
  <c r="C2" i="3"/>
  <c r="B2" i="3"/>
  <c r="B5" i="3"/>
  <c r="B4" i="3"/>
  <c r="B3" i="3"/>
</calcChain>
</file>

<file path=xl/sharedStrings.xml><?xml version="1.0" encoding="utf-8"?>
<sst xmlns="http://schemas.openxmlformats.org/spreadsheetml/2006/main" count="53" uniqueCount="41">
  <si>
    <t>ID</t>
  </si>
  <si>
    <t>FUNCAO</t>
  </si>
  <si>
    <t>PRÉ-CONDIÇÕES</t>
  </si>
  <si>
    <t>ARQUIVO</t>
  </si>
  <si>
    <t>DESCRIÇÃO DO CASO DE TESTE</t>
  </si>
  <si>
    <t>STATUS</t>
  </si>
  <si>
    <t>CTU-001</t>
  </si>
  <si>
    <t>createExemplo()</t>
  </si>
  <si>
    <t>mainModel.js</t>
  </si>
  <si>
    <t>NENHUMA</t>
  </si>
  <si>
    <t>EXEMPLO DE ENTRADA</t>
  </si>
  <si>
    <t>{'DADO1','DADO2','DADO3'}</t>
  </si>
  <si>
    <t>COMO TESTAR A SAÍDA</t>
  </si>
  <si>
    <t>O QUE DEVE SER ANALISADO</t>
  </si>
  <si>
    <t>1. os dados cadastrados na entada devem ser iguais aos da saída</t>
  </si>
  <si>
    <t>DATA</t>
  </si>
  <si>
    <t>IMPL.</t>
  </si>
  <si>
    <t>TESTER</t>
  </si>
  <si>
    <t>Josué Rosario</t>
  </si>
  <si>
    <t>1. Acessar o SGBD
2. Executar o seguinte select
Select * from tabelaExemplo;</t>
  </si>
  <si>
    <t>DESCRIÇÃO DO ULTIMO RESULTADO OBTIDO</t>
  </si>
  <si>
    <t>CTF-001</t>
  </si>
  <si>
    <t>FUNCIONALIDADE</t>
  </si>
  <si>
    <t>Login</t>
  </si>
  <si>
    <t>Ao inserir um usuário e senha corretos o sistema deve levar a tela inicial</t>
  </si>
  <si>
    <t>Usuarío deve estar cadastrado no banco</t>
  </si>
  <si>
    <t>Usuario: josedasilva
senha: 1234</t>
  </si>
  <si>
    <t>COMO EXECUTAR O TESTE</t>
  </si>
  <si>
    <t>1. Abrir o sistema
2. Inserir usuário e senha válido e pressiona ok</t>
  </si>
  <si>
    <t>1. A tela inicial foi mostrada
2. O nome do usuário foi corretamente mostrado</t>
  </si>
  <si>
    <t>PASSOU</t>
  </si>
  <si>
    <t xml:space="preserve">createExemplo() deve cadastrar um exemplo </t>
  </si>
  <si>
    <t>TESTES IMPLEMENTADOS</t>
  </si>
  <si>
    <t>DESCRIÇÃO</t>
  </si>
  <si>
    <t>UNITÁRIOS</t>
  </si>
  <si>
    <t>FUNCIONAIS</t>
  </si>
  <si>
    <t>TESTES QUE PASSARAM</t>
  </si>
  <si>
    <t>TESTES QUE NÃO PASSARAM</t>
  </si>
  <si>
    <t>TESTES NÃO IMPLEMENTADOS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</si>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</sst>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/>
    </xf>
    <xf numFmtId="0" fontId="0" fillId="0" borderId="2" xfId="0" applyBorder="1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782C-A2B1-4136-86F8-0F29B8267B23}">
  <dimension ref="A1:C5"/>
  <sheetViews>
    <sheetView tabSelected="1" workbookViewId="0">
      <selection activeCell="I19" sqref="I19"/>
    </sheetView>
  </sheetViews>
  <sheetFormatPr defaultRowHeight="15" x14ac:dyDescent="0.25"/>
  <cols>
    <col min="1" max="1" width="28.85546875" customWidth="1"/>
    <col min="2" max="2" width="16" customWidth="1"/>
    <col min="3" max="3" width="18.5703125" customWidth="1"/>
  </cols>
  <sheetData>
    <row r="1" spans="1:3" x14ac:dyDescent="0.25">
      <c r="A1" s="1" t="s">
        <v>33</v>
      </c>
      <c r="B1" s="6" t="s">
        <v>34</v>
      </c>
      <c r="C1" s="6" t="s">
        <v>35</v>
      </c>
    </row>
    <row r="2" spans="1:3" x14ac:dyDescent="0.25">
      <c r="A2" s="5" t="s">
        <v>38</v>
      </c>
      <c r="B2" s="7">
        <f>COUNTIFS(UNITARIOS!$E:$E,"=NÃO")</f>
        <v>0</v>
      </c>
      <c r="C2" s="7">
        <f>COUNTIFS(FUNCIONAIS!$D:$D,"=NÃO")</f>
        <v>1</v>
      </c>
    </row>
    <row r="3" spans="1:3" x14ac:dyDescent="0.25">
      <c r="A3" s="5" t="s">
        <v>32</v>
      </c>
      <c r="B3" s="7">
        <f>COUNTIFS(UNITARIOS!$E:$E,"=SIM")</f>
        <v>1</v>
      </c>
      <c r="C3" s="7">
        <f>COUNTIFS(FUNCIONAIS!$D:$D,"=SIM")</f>
        <v>0</v>
      </c>
    </row>
    <row r="4" spans="1:3" x14ac:dyDescent="0.25">
      <c r="A4" s="5" t="s">
        <v>36</v>
      </c>
      <c r="B4" s="7">
        <f>COUNTIFS(UNITARIOS!M:M,"=PASSOU")</f>
        <v>1</v>
      </c>
      <c r="C4" s="7">
        <f>COUNTIFS(FUNCIONAIS!$L:$L,"=PASSOU")</f>
        <v>1</v>
      </c>
    </row>
    <row r="5" spans="1:3" x14ac:dyDescent="0.25">
      <c r="A5" s="5" t="s">
        <v>37</v>
      </c>
      <c r="B5" s="7">
        <f>COUNTIFS(UNITARIOS!M:M,"=NAO PASSOU")</f>
        <v>0</v>
      </c>
      <c r="C5" s="7">
        <f>COUNTIFS(FUNCIONAIS!$L:$L,"=NÃO")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0CAC7-316E-46CB-A569-E04FC4195B48}">
  <dimension ref="A1:M2"/>
  <sheetViews>
    <sheetView workbookViewId="0">
      <selection activeCell="E2" sqref="E2"/>
    </sheetView>
  </sheetViews>
  <sheetFormatPr defaultRowHeight="15" x14ac:dyDescent="0.25"/>
  <cols>
    <col min="1" max="1" width="8.140625" bestFit="1" customWidth="1"/>
    <col min="2" max="2" width="15.42578125" bestFit="1" customWidth="1"/>
    <col min="3" max="3" width="13.28515625" bestFit="1" customWidth="1"/>
    <col min="4" max="4" width="39.85546875" bestFit="1" customWidth="1"/>
    <col min="5" max="5" width="5.85546875" bestFit="1" customWidth="1"/>
    <col min="6" max="6" width="26.85546875" customWidth="1"/>
    <col min="7" max="7" width="28.5703125" customWidth="1"/>
    <col min="8" max="8" width="36.140625" customWidth="1"/>
    <col min="9" max="9" width="60.7109375" bestFit="1" customWidth="1"/>
    <col min="10" max="10" width="43.140625" customWidth="1"/>
    <col min="11" max="11" width="10.42578125" bestFit="1" customWidth="1"/>
    <col min="12" max="12" width="36.42578125" customWidth="1"/>
    <col min="13" max="13" width="20.85546875" customWidth="1"/>
  </cols>
  <sheetData>
    <row r="1" spans="1:13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16</v>
      </c>
      <c r="F1" s="1" t="s">
        <v>2</v>
      </c>
      <c r="G1" s="1" t="s">
        <v>10</v>
      </c>
      <c r="H1" s="1" t="s">
        <v>12</v>
      </c>
      <c r="I1" s="1" t="s">
        <v>13</v>
      </c>
      <c r="J1" s="1" t="s">
        <v>20</v>
      </c>
      <c r="K1" s="1" t="s">
        <v>15</v>
      </c>
      <c r="L1" s="1" t="s">
        <v>17</v>
      </c>
      <c r="M1" s="1" t="s">
        <v>5</v>
      </c>
    </row>
    <row r="2" spans="1:13" s="2" customFormat="1" ht="45" x14ac:dyDescent="0.25">
      <c r="A2" s="2" t="s">
        <v>6</v>
      </c>
      <c r="B2" s="2" t="s">
        <v>7</v>
      </c>
      <c r="C2" s="2" t="s">
        <v>8</v>
      </c>
      <c r="D2" s="2" t="s">
        <v>31</v>
      </c>
      <c r="E2" s="2" t="s">
        <v>39</v>
      </c>
      <c r="F2" s="2" t="s">
        <v>9</v>
      </c>
      <c r="G2" s="2" t="s">
        <v>11</v>
      </c>
      <c r="H2" s="3" t="s">
        <v>19</v>
      </c>
      <c r="I2" s="2" t="s">
        <v>14</v>
      </c>
      <c r="K2" s="4">
        <v>45971</v>
      </c>
      <c r="L2" s="2" t="s">
        <v>18</v>
      </c>
      <c r="M2" s="2" t="s">
        <v>30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0F25-71DD-4BBC-9B61-33CCED0C99FF}">
  <dimension ref="A1:L2"/>
  <sheetViews>
    <sheetView topLeftCell="G1" workbookViewId="0">
      <selection activeCell="L2" sqref="L2"/>
    </sheetView>
  </sheetViews>
  <sheetFormatPr defaultRowHeight="15" x14ac:dyDescent="0.25"/>
  <cols>
    <col min="2" max="2" width="26" customWidth="1"/>
    <col min="3" max="3" width="66.28515625" bestFit="1" customWidth="1"/>
    <col min="4" max="4" width="5.85546875" bestFit="1" customWidth="1"/>
    <col min="5" max="5" width="47.7109375" customWidth="1"/>
    <col min="6" max="6" width="35.7109375" customWidth="1"/>
    <col min="7" max="7" width="60.7109375" bestFit="1" customWidth="1"/>
    <col min="8" max="8" width="74" customWidth="1"/>
    <col min="9" max="9" width="46.85546875" customWidth="1"/>
    <col min="10" max="10" width="14.7109375" customWidth="1"/>
    <col min="11" max="11" width="32.28515625" customWidth="1"/>
    <col min="12" max="12" width="20.5703125" customWidth="1"/>
  </cols>
  <sheetData>
    <row r="1" spans="1:12" x14ac:dyDescent="0.25">
      <c r="A1" s="1" t="s">
        <v>0</v>
      </c>
      <c r="B1" s="1" t="s">
        <v>22</v>
      </c>
      <c r="C1" s="1" t="s">
        <v>4</v>
      </c>
      <c r="D1" s="1" t="s">
        <v>16</v>
      </c>
      <c r="E1" s="1" t="s">
        <v>2</v>
      </c>
      <c r="F1" s="1" t="s">
        <v>10</v>
      </c>
      <c r="G1" s="1" t="s">
        <v>27</v>
      </c>
      <c r="H1" s="1" t="s">
        <v>13</v>
      </c>
      <c r="I1" s="1" t="s">
        <v>20</v>
      </c>
      <c r="J1" s="1" t="s">
        <v>15</v>
      </c>
      <c r="K1" s="1" t="s">
        <v>17</v>
      </c>
      <c r="L1" s="1" t="s">
        <v>5</v>
      </c>
    </row>
    <row r="2" spans="1:12" ht="42.75" customHeight="1" x14ac:dyDescent="0.25">
      <c r="A2" s="2" t="s">
        <v>21</v>
      </c>
      <c r="B2" s="2" t="s">
        <v>23</v>
      </c>
      <c r="C2" s="2" t="s">
        <v>24</v>
      </c>
      <c r="D2" s="2" t="s">
        <v>40</v>
      </c>
      <c r="E2" s="2" t="s">
        <v>25</v>
      </c>
      <c r="F2" s="3" t="s">
        <v>26</v>
      </c>
      <c r="G2" s="3" t="s">
        <v>28</v>
      </c>
      <c r="H2" s="3" t="s">
        <v>29</v>
      </c>
      <c r="I2" s="2"/>
      <c r="J2" s="4">
        <v>45971</v>
      </c>
      <c r="K2" s="2" t="s">
        <v>18</v>
      </c>
      <c r="L2" s="2" t="s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RESULTADOS</vt:lpstr>
      <vt:lpstr>UNITARIOS</vt:lpstr>
      <vt:lpstr>FUNCIONAIS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MICARONI DO ROSARIO</dc:creator>
  <cp:lastModifiedBy>Josue Micaroni do Rosario</cp:lastModifiedBy>
  <dcterms:created xsi:type="dcterms:W3CDTF">2025-11-10T11:56:05Z</dcterms:created>
  <dcterms:modified xsi:type="dcterms:W3CDTF">2026-05-20T15:44:36Z</dcterms:modified>
</cp:coreProperties>
</file>